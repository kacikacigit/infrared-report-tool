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40"/>
  </bookViews>
  <sheets>
    <sheet name="普测" sheetId="2" r:id="rId1"/>
    <sheet name="1000kV精测" sheetId="3" r:id="rId2"/>
    <sheet name="500kV精测" sheetId="4" r:id="rId3"/>
    <sheet name="Sheet1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<sst xmlns="http://schemas.openxmlformats.org/spreadsheetml/2006/main" count="169" uniqueCount="84">
  <si>
    <t>序号</t>
  </si>
  <si>
    <t>间隔名称</t>
  </si>
  <si>
    <t>设备名称</t>
  </si>
  <si>
    <t>缺陷部位</t>
  </si>
  <si>
    <r>
      <t>表面温度（</t>
    </r>
    <r>
      <rPr>
        <b/>
        <sz val="12"/>
        <color rgb="FF000000"/>
        <rFont val="Times New Roman Regular"/>
        <charset val="134"/>
      </rPr>
      <t>℃</t>
    </r>
    <r>
      <rPr>
        <b/>
        <sz val="12"/>
        <color rgb="FF000000"/>
        <rFont val="宋体"/>
        <charset val="134"/>
        <scheme val="minor"/>
      </rPr>
      <t>）</t>
    </r>
  </si>
  <si>
    <r>
      <t>正常温度（</t>
    </r>
    <r>
      <rPr>
        <b/>
        <sz val="12"/>
        <color rgb="FF000000"/>
        <rFont val="Times New Roman Regular"/>
        <charset val="134"/>
      </rPr>
      <t>℃</t>
    </r>
    <r>
      <rPr>
        <b/>
        <sz val="12"/>
        <color rgb="FF000000"/>
        <rFont val="宋体"/>
        <charset val="134"/>
        <scheme val="minor"/>
      </rPr>
      <t>）</t>
    </r>
  </si>
  <si>
    <r>
      <t>环境温</t>
    </r>
    <r>
      <rPr>
        <b/>
        <sz val="12"/>
        <color rgb="FF000000"/>
        <rFont val="宋体"/>
        <charset val="134"/>
        <scheme val="minor"/>
      </rPr>
      <t>度</t>
    </r>
    <r>
      <rPr>
        <b/>
        <sz val="12"/>
        <color rgb="FF000000"/>
        <rFont val="宋体"/>
        <charset val="134"/>
        <scheme val="minor"/>
      </rPr>
      <t>（</t>
    </r>
    <r>
      <rPr>
        <b/>
        <sz val="12"/>
        <color rgb="FF000000"/>
        <rFont val="Times New Roman Regular"/>
        <charset val="134"/>
      </rPr>
      <t>℃</t>
    </r>
    <r>
      <rPr>
        <b/>
        <sz val="12"/>
        <color rgb="FF000000"/>
        <rFont val="宋体"/>
        <charset val="134"/>
        <scheme val="minor"/>
      </rPr>
      <t>）</t>
    </r>
  </si>
  <si>
    <r>
      <t>负荷电流（</t>
    </r>
    <r>
      <rPr>
        <b/>
        <sz val="12"/>
        <color rgb="FF000000"/>
        <rFont val="Times New Roman Regular"/>
        <charset val="134"/>
      </rPr>
      <t>A</t>
    </r>
    <r>
      <rPr>
        <b/>
        <sz val="12"/>
        <color rgb="FF000000"/>
        <rFont val="宋体"/>
        <charset val="134"/>
        <scheme val="minor"/>
      </rPr>
      <t>）</t>
    </r>
  </si>
  <si>
    <t>图谱编号</t>
  </si>
  <si>
    <r>
      <t>备注（辐射系数</t>
    </r>
    <r>
      <rPr>
        <b/>
        <sz val="12"/>
        <color rgb="FF000000"/>
        <rFont val="Times New Roman Regular"/>
        <charset val="134"/>
      </rPr>
      <t>/</t>
    </r>
    <r>
      <rPr>
        <b/>
        <sz val="12"/>
        <color rgb="FF000000"/>
        <rFont val="宋体"/>
        <charset val="134"/>
        <scheme val="minor"/>
      </rPr>
      <t>风速</t>
    </r>
    <r>
      <rPr>
        <b/>
        <sz val="12"/>
        <color rgb="FF000000"/>
        <rFont val="Times New Roman Regular"/>
        <charset val="134"/>
      </rPr>
      <t>/</t>
    </r>
    <r>
      <rPr>
        <b/>
        <sz val="12"/>
        <color rgb="FF000000"/>
        <rFont val="宋体"/>
        <charset val="134"/>
        <scheme val="minor"/>
      </rPr>
      <t>距离等）</t>
    </r>
  </si>
  <si>
    <t>温差</t>
  </si>
  <si>
    <r>
      <t>1120</t>
    </r>
    <r>
      <rPr>
        <sz val="12"/>
        <color theme="1"/>
        <rFont val="宋体"/>
        <charset val="134"/>
        <scheme val="minor"/>
      </rPr>
      <t>断路器间隔</t>
    </r>
  </si>
  <si>
    <r>
      <t>11201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A</t>
    </r>
    <r>
      <rPr>
        <sz val="12"/>
        <color theme="1"/>
        <rFont val="宋体"/>
        <charset val="134"/>
        <scheme val="minor"/>
      </rPr>
      <t>相</t>
    </r>
  </si>
  <si>
    <t>刀闸接头</t>
  </si>
  <si>
    <r>
      <t>图</t>
    </r>
    <r>
      <rPr>
        <sz val="10.5"/>
        <color rgb="FF000000"/>
        <rFont val="Times New Roman Regular"/>
        <charset val="134"/>
      </rPr>
      <t>1</t>
    </r>
  </si>
  <si>
    <t>0.9/1/5</t>
  </si>
  <si>
    <r>
      <t>11201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B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</si>
  <si>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2</t>
    </r>
  </si>
  <si>
    <r>
      <t>11201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C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</si>
  <si>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3</t>
    </r>
  </si>
  <si>
    <r>
      <t>1123</t>
    </r>
    <r>
      <rPr>
        <sz val="12"/>
        <color theme="1"/>
        <rFont val="宋体"/>
        <charset val="134"/>
        <scheme val="minor"/>
      </rPr>
      <t>断路器间隔</t>
    </r>
  </si>
  <si>
    <r>
      <t>11231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A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</si>
  <si>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4</t>
    </r>
  </si>
  <si>
    <r>
      <t>11231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B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</si>
  <si>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5</t>
    </r>
  </si>
  <si>
    <r>
      <t>11231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C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</si>
  <si>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6</t>
    </r>
  </si>
  <si>
    <r>
      <t>1113</t>
    </r>
    <r>
      <rPr>
        <sz val="12"/>
        <color theme="1"/>
        <rFont val="宋体"/>
        <charset val="134"/>
        <scheme val="minor"/>
      </rPr>
      <t>断路器间隔</t>
    </r>
  </si>
  <si>
    <r>
      <t>11131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A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</si>
  <si>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7</t>
    </r>
  </si>
  <si>
    <r>
      <t>11131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B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</si>
  <si>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8</t>
    </r>
  </si>
  <si>
    <r>
      <t>11131</t>
    </r>
    <r>
      <rPr>
        <sz val="12"/>
        <color theme="1"/>
        <rFont val="宋体"/>
        <charset val="134"/>
        <scheme val="minor"/>
      </rPr>
      <t>刀闸</t>
    </r>
    <r>
      <rPr>
        <sz val="12"/>
        <color theme="1"/>
        <rFont val="Times New Roman Regular"/>
        <charset val="134"/>
      </rPr>
      <t>C</t>
    </r>
    <r>
      <rPr>
        <sz val="12"/>
        <color theme="1"/>
        <rFont val="宋体"/>
        <charset val="134"/>
        <scheme val="minor"/>
      </rPr>
      <t>相</t>
    </r>
  </si>
  <si>
    <r>
      <t>图</t>
    </r>
    <r>
      <rPr>
        <sz val="10.5"/>
        <color rgb="FF000000"/>
        <rFont val="Times New Roman Regular"/>
        <charset val="134"/>
      </rPr>
      <t>9</t>
    </r>
  </si>
  <si>
    <r>
      <t>1120</t>
    </r>
    <r>
      <rPr>
        <sz val="12"/>
        <color theme="1"/>
        <rFont val="宋体"/>
        <charset val="134"/>
        <scheme val="minor"/>
      </rPr>
      <t>间隔</t>
    </r>
    <r>
      <rPr>
        <sz val="12"/>
        <color theme="1"/>
        <rFont val="Times New Roman Regular"/>
        <charset val="134"/>
      </rPr>
      <t>PT</t>
    </r>
    <r>
      <rPr>
        <sz val="12"/>
        <color theme="1"/>
        <rFont val="宋体"/>
        <charset val="134"/>
        <scheme val="minor"/>
      </rPr>
      <t>端子箱</t>
    </r>
  </si>
  <si>
    <t>无</t>
  </si>
  <si>
    <t>/</t>
  </si>
  <si>
    <r>
      <t>图</t>
    </r>
    <r>
      <rPr>
        <sz val="10.5"/>
        <color rgb="FF000000"/>
        <rFont val="Times New Roman Regular"/>
        <charset val="134"/>
      </rPr>
      <t>10</t>
    </r>
  </si>
  <si>
    <t>0.9/1/2</t>
  </si>
  <si>
    <t>国网湖北超高压公司1000kV特高压黄石变电站测温报告</t>
  </si>
  <si>
    <t>一、基本信息</t>
  </si>
  <si>
    <t>变电站</t>
  </si>
  <si>
    <r>
      <t>1000kV</t>
    </r>
    <r>
      <rPr>
        <sz val="12"/>
        <color rgb="FF000000"/>
        <rFont val="宋体"/>
        <charset val="134"/>
        <scheme val="minor"/>
      </rPr>
      <t>特高压黄石站</t>
    </r>
  </si>
  <si>
    <t>委托单位</t>
  </si>
  <si>
    <t>　黄石站运维班</t>
  </si>
  <si>
    <t>试验单位</t>
  </si>
  <si>
    <t>　</t>
  </si>
  <si>
    <t>试验性质</t>
  </si>
  <si>
    <t>专项红外普测</t>
  </si>
  <si>
    <t>试验日期</t>
  </si>
  <si>
    <t>试验人员</t>
  </si>
  <si>
    <t>张安安、陈建平</t>
  </si>
  <si>
    <t>试验</t>
  </si>
  <si>
    <t>地点</t>
  </si>
  <si>
    <t>报告</t>
  </si>
  <si>
    <t>编制人</t>
  </si>
  <si>
    <t>张安安</t>
  </si>
  <si>
    <t>审核人</t>
  </si>
  <si>
    <t>李锦</t>
  </si>
  <si>
    <t>批准人</t>
  </si>
  <si>
    <t>许悦</t>
  </si>
  <si>
    <t>日期</t>
  </si>
  <si>
    <t>试验天气</t>
  </si>
  <si>
    <t>晴</t>
  </si>
  <si>
    <r>
      <t>温度（</t>
    </r>
    <r>
      <rPr>
        <b/>
        <sz val="12"/>
        <color rgb="FF000000"/>
        <rFont val="Times New Roman Regular"/>
        <charset val="134"/>
      </rPr>
      <t>℃</t>
    </r>
    <r>
      <rPr>
        <b/>
        <sz val="12"/>
        <color rgb="FF000000"/>
        <rFont val="宋体"/>
        <charset val="134"/>
        <scheme val="minor"/>
      </rPr>
      <t>）</t>
    </r>
  </si>
  <si>
    <r>
      <t>湿度（</t>
    </r>
    <r>
      <rPr>
        <b/>
        <sz val="12"/>
        <color rgb="FF000000"/>
        <rFont val="Times New Roman Regular"/>
        <charset val="134"/>
      </rPr>
      <t>%</t>
    </r>
    <r>
      <rPr>
        <b/>
        <sz val="12"/>
        <color rgb="FF000000"/>
        <rFont val="宋体"/>
        <charset val="134"/>
        <scheme val="minor"/>
      </rPr>
      <t>）</t>
    </r>
  </si>
  <si>
    <t>二、检测数据</t>
  </si>
  <si>
    <t>表面温度</t>
  </si>
  <si>
    <t>正常温度</t>
  </si>
  <si>
    <t>环境</t>
  </si>
  <si>
    <t>负荷电流</t>
  </si>
  <si>
    <t>备注（辐射</t>
  </si>
  <si>
    <r>
      <t>（</t>
    </r>
    <r>
      <rPr>
        <b/>
        <sz val="12"/>
        <color rgb="FF000000"/>
        <rFont val="Times New Roman Regular"/>
        <charset val="134"/>
      </rPr>
      <t>℃</t>
    </r>
    <r>
      <rPr>
        <b/>
        <sz val="12"/>
        <color rgb="FF000000"/>
        <rFont val="宋体"/>
        <charset val="134"/>
        <scheme val="minor"/>
      </rPr>
      <t>）</t>
    </r>
  </si>
  <si>
    <r>
      <t>（</t>
    </r>
    <r>
      <rPr>
        <b/>
        <sz val="12"/>
        <color rgb="FF000000"/>
        <rFont val="Times New Roman Regular"/>
        <charset val="134"/>
      </rPr>
      <t>A</t>
    </r>
    <r>
      <rPr>
        <b/>
        <sz val="12"/>
        <color rgb="FF000000"/>
        <rFont val="宋体"/>
        <charset val="134"/>
        <scheme val="minor"/>
      </rPr>
      <t>）</t>
    </r>
  </si>
  <si>
    <r>
      <t>系数</t>
    </r>
    <r>
      <rPr>
        <b/>
        <sz val="12"/>
        <color rgb="FF000000"/>
        <rFont val="Times New Roman Regular"/>
        <charset val="134"/>
      </rPr>
      <t>/</t>
    </r>
    <r>
      <rPr>
        <b/>
        <sz val="12"/>
        <color rgb="FF000000"/>
        <rFont val="宋体"/>
        <charset val="134"/>
        <scheme val="minor"/>
      </rPr>
      <t>风速</t>
    </r>
    <r>
      <rPr>
        <b/>
        <sz val="12"/>
        <color rgb="FF000000"/>
        <rFont val="Times New Roman Regular"/>
        <charset val="134"/>
      </rPr>
      <t>/</t>
    </r>
  </si>
  <si>
    <t>距离等）</t>
  </si>
  <si>
    <t>检测仪器</t>
  </si>
  <si>
    <t>红外测温仪</t>
  </si>
  <si>
    <t>仪器编号</t>
  </si>
  <si>
    <t>FOTRIC</t>
  </si>
  <si>
    <t>结论</t>
  </si>
  <si>
    <r>
      <t>11201</t>
    </r>
    <r>
      <rPr>
        <sz val="12"/>
        <color rgb="FF000000"/>
        <rFont val="宋体"/>
        <charset val="134"/>
        <scheme val="minor"/>
      </rPr>
      <t>刀闸</t>
    </r>
    <r>
      <rPr>
        <sz val="12"/>
        <color rgb="FF000000"/>
        <rFont val="Times New Roman Regular"/>
        <charset val="134"/>
      </rPr>
      <t>B</t>
    </r>
    <r>
      <rPr>
        <sz val="12"/>
        <color rgb="FF000000"/>
        <rFont val="宋体"/>
        <charset val="134"/>
        <scheme val="minor"/>
      </rPr>
      <t>、</t>
    </r>
    <r>
      <rPr>
        <sz val="12"/>
        <color rgb="FF000000"/>
        <rFont val="Times New Roman Regular"/>
        <charset val="134"/>
      </rPr>
      <t>11231</t>
    </r>
    <r>
      <rPr>
        <sz val="12"/>
        <color rgb="FF000000"/>
        <rFont val="宋体"/>
        <charset val="134"/>
        <scheme val="minor"/>
      </rPr>
      <t>刀闸</t>
    </r>
    <r>
      <rPr>
        <sz val="12"/>
        <color rgb="FF000000"/>
        <rFont val="Times New Roman Regular"/>
        <charset val="134"/>
      </rPr>
      <t>A</t>
    </r>
    <r>
      <rPr>
        <sz val="12"/>
        <color rgb="FF000000"/>
        <rFont val="宋体"/>
        <charset val="134"/>
        <scheme val="minor"/>
      </rPr>
      <t>、</t>
    </r>
    <r>
      <rPr>
        <sz val="12"/>
        <color rgb="FF000000"/>
        <rFont val="Times New Roman Regular"/>
        <charset val="134"/>
      </rPr>
      <t>C</t>
    </r>
    <r>
      <rPr>
        <sz val="12"/>
        <color rgb="FF000000"/>
        <rFont val="宋体"/>
        <charset val="134"/>
        <scheme val="minor"/>
      </rPr>
      <t>相接头发热</t>
    </r>
    <r>
      <rPr>
        <sz val="12"/>
        <color rgb="FF000000"/>
        <rFont val="Times New Roman Regular"/>
        <charset val="134"/>
      </rPr>
      <t>,</t>
    </r>
    <r>
      <rPr>
        <sz val="12"/>
        <color rgb="FF000000"/>
        <rFont val="宋体"/>
        <charset val="134"/>
        <scheme val="minor"/>
      </rPr>
      <t>达到一般缺陷标准</t>
    </r>
    <r>
      <rPr>
        <sz val="12"/>
        <color rgb="FF000000"/>
        <rFont val="Times New Roman Regular"/>
        <charset val="134"/>
      </rPr>
      <t>,</t>
    </r>
    <r>
      <rPr>
        <sz val="12"/>
        <color rgb="FF000000"/>
        <rFont val="宋体"/>
        <charset val="134"/>
        <scheme val="minor"/>
      </rPr>
      <t>未达到严重缺陷标准（发热缺陷较前期无明显发展趋势），无其他异常</t>
    </r>
  </si>
  <si>
    <t>备注</t>
  </si>
  <si>
    <t>迎峰度夏保电测温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</si>
</sst>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仿宋"/>
      <charset val="134"/>
    </font>
    <font>
      <b/>
      <sz val="12"/>
      <color rgb="FF000000"/>
      <name val="宋体"/>
      <charset val="134"/>
      <scheme val="minor"/>
    </font>
    <font>
      <sz val="12"/>
      <color rgb="FF000000"/>
      <name val="Times New Roman Regular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sz val="10.5"/>
      <color theme="1"/>
      <name val="等线"/>
      <charset val="134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Times New Roman Regular"/>
      <charset val="134"/>
    </font>
    <font>
      <b/>
      <sz val="12"/>
      <color rgb="FF000000"/>
      <name val="Times New Roman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18" fillId="4" borderId="19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5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1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center"/>
    </xf>
    <xf numFmtId="0" fontId="4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31" fontId="3" fillId="0" borderId="5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65" zoomScaleNormal="65" workbookViewId="0">
      <selection activeCell="A2" sqref="A2:J11"/>
    </sheetView>
  </sheetViews>
  <sheetFormatPr defaultColWidth="9.23076923076923" defaultRowHeight="16.8"/>
  <cols>
    <col min="10" max="10" width="15.6923076923077" customWidth="1"/>
  </cols>
  <sheetData>
    <row r="1" ht="53" spans="1:1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t="s">
        <v>10</v>
      </c>
    </row>
    <row r="2" ht="53" spans="1:11">
      <c r="A2" s="44">
        <v>1</v>
      </c>
      <c r="B2" s="45" t="s">
        <v>11</v>
      </c>
      <c r="C2" s="45" t="s">
        <v>12</v>
      </c>
      <c r="D2" s="46" t="s">
        <v>13</v>
      </c>
      <c r="E2" s="45">
        <v>59.7</v>
      </c>
      <c r="F2" s="45">
        <v>59.7</v>
      </c>
      <c r="G2" s="47">
        <v>31</v>
      </c>
      <c r="H2" s="45">
        <v>1263</v>
      </c>
      <c r="I2" s="49" t="s">
        <v>14</v>
      </c>
      <c r="J2" s="45" t="s">
        <v>15</v>
      </c>
      <c r="K2">
        <f>E2-F2</f>
        <v>0</v>
      </c>
    </row>
    <row r="3" ht="53" spans="1:11">
      <c r="A3" s="44">
        <v>2</v>
      </c>
      <c r="B3" s="45" t="s">
        <v>11</v>
      </c>
      <c r="C3" s="45" t="s">
        <v>16</v>
      </c>
      <c r="D3" s="46" t="s">
        <v>13</v>
      </c>
      <c r="E3" s="45">
        <v>86.9</v>
      </c>
      <c r="F3" s="45">
        <v>59.7</v>
      </c>
      <c r="G3" s="47">
        <v>31</v>
      </c>
      <c r="H3" s="45">
        <v>1263</v>
      </c>
      <c r="I3" s="49" t="s">
        <v>17</v>
      </c>
      <c r="J3" s="45" t="s">
        <v>15</v>
      </c>
      <c r="K3">
        <f t="shared" ref="K3:K11" si="0">E3-F3</f>
        <v>27.2</v>
      </c>
    </row>
    <row r="4" ht="53" spans="1:11">
      <c r="A4" s="44">
        <v>3</v>
      </c>
      <c r="B4" s="45" t="s">
        <v>11</v>
      </c>
      <c r="C4" s="45" t="s">
        <v>18</v>
      </c>
      <c r="D4" s="46" t="s">
        <v>13</v>
      </c>
      <c r="E4" s="45">
        <v>69.1</v>
      </c>
      <c r="F4" s="45">
        <v>59.7</v>
      </c>
      <c r="G4" s="47">
        <v>31</v>
      </c>
      <c r="H4" s="45">
        <v>1263</v>
      </c>
      <c r="I4" s="49" t="s">
        <v>19</v>
      </c>
      <c r="J4" s="45" t="s">
        <v>15</v>
      </c>
      <c r="K4">
        <f t="shared" si="0"/>
        <v>9.39999999999999</v>
      </c>
    </row>
    <row r="5" ht="53" spans="1:11">
      <c r="A5" s="44">
        <v>4</v>
      </c>
      <c r="B5" s="45" t="s">
        <v>20</v>
      </c>
      <c r="C5" s="45" t="s">
        <v>21</v>
      </c>
      <c r="D5" s="46" t="s">
        <v>13</v>
      </c>
      <c r="E5" s="45">
        <v>66.4</v>
      </c>
      <c r="F5" s="45">
        <v>49.9</v>
      </c>
      <c r="G5" s="47">
        <v>31</v>
      </c>
      <c r="H5" s="45">
        <v>1248</v>
      </c>
      <c r="I5" s="49" t="s">
        <v>22</v>
      </c>
      <c r="J5" s="45" t="s">
        <v>15</v>
      </c>
      <c r="K5">
        <f t="shared" si="0"/>
        <v>16.5</v>
      </c>
    </row>
    <row r="6" ht="53" spans="1:11">
      <c r="A6" s="44">
        <v>5</v>
      </c>
      <c r="B6" s="45" t="s">
        <v>20</v>
      </c>
      <c r="C6" s="45" t="s">
        <v>23</v>
      </c>
      <c r="D6" s="46" t="s">
        <v>13</v>
      </c>
      <c r="E6" s="45">
        <v>49.9</v>
      </c>
      <c r="F6" s="45">
        <v>49.9</v>
      </c>
      <c r="G6" s="47">
        <v>31</v>
      </c>
      <c r="H6" s="45">
        <v>1248</v>
      </c>
      <c r="I6" s="49" t="s">
        <v>24</v>
      </c>
      <c r="J6" s="45" t="s">
        <v>15</v>
      </c>
      <c r="K6">
        <f t="shared" si="0"/>
        <v>0</v>
      </c>
    </row>
    <row r="7" ht="53" spans="1:11">
      <c r="A7" s="44">
        <v>6</v>
      </c>
      <c r="B7" s="45" t="s">
        <v>20</v>
      </c>
      <c r="C7" s="45" t="s">
        <v>25</v>
      </c>
      <c r="D7" s="46" t="s">
        <v>13</v>
      </c>
      <c r="E7" s="45">
        <v>65.5</v>
      </c>
      <c r="F7" s="45">
        <v>49.9</v>
      </c>
      <c r="G7" s="47">
        <v>31</v>
      </c>
      <c r="H7" s="45">
        <v>1248</v>
      </c>
      <c r="I7" s="49" t="s">
        <v>26</v>
      </c>
      <c r="J7" s="45" t="s">
        <v>15</v>
      </c>
      <c r="K7">
        <f t="shared" si="0"/>
        <v>15.6</v>
      </c>
    </row>
    <row r="8" ht="53" spans="1:11">
      <c r="A8" s="44">
        <v>7</v>
      </c>
      <c r="B8" s="45" t="s">
        <v>27</v>
      </c>
      <c r="C8" s="45" t="s">
        <v>28</v>
      </c>
      <c r="D8" s="46" t="s">
        <v>13</v>
      </c>
      <c r="E8" s="45">
        <v>55.2</v>
      </c>
      <c r="F8" s="45">
        <v>48.4</v>
      </c>
      <c r="G8" s="47">
        <v>31</v>
      </c>
      <c r="H8" s="45">
        <v>1224</v>
      </c>
      <c r="I8" s="49" t="s">
        <v>29</v>
      </c>
      <c r="J8" s="45" t="s">
        <v>15</v>
      </c>
      <c r="K8">
        <f t="shared" si="0"/>
        <v>6.8</v>
      </c>
    </row>
    <row r="9" ht="53" spans="1:11">
      <c r="A9" s="44">
        <v>8</v>
      </c>
      <c r="B9" s="45" t="s">
        <v>27</v>
      </c>
      <c r="C9" s="45" t="s">
        <v>30</v>
      </c>
      <c r="D9" s="46" t="s">
        <v>13</v>
      </c>
      <c r="E9" s="45">
        <v>55.9</v>
      </c>
      <c r="F9" s="45">
        <v>48.4</v>
      </c>
      <c r="G9" s="47">
        <v>31</v>
      </c>
      <c r="H9" s="45">
        <v>1224</v>
      </c>
      <c r="I9" s="49" t="s">
        <v>31</v>
      </c>
      <c r="J9" s="45" t="s">
        <v>15</v>
      </c>
      <c r="K9">
        <f t="shared" si="0"/>
        <v>7.5</v>
      </c>
    </row>
    <row r="10" ht="53" spans="1:11">
      <c r="A10" s="44">
        <v>9</v>
      </c>
      <c r="B10" s="45" t="s">
        <v>27</v>
      </c>
      <c r="C10" s="45" t="s">
        <v>32</v>
      </c>
      <c r="D10" s="46" t="s">
        <v>13</v>
      </c>
      <c r="E10" s="45">
        <v>48.4</v>
      </c>
      <c r="F10" s="45">
        <v>48.4</v>
      </c>
      <c r="G10" s="47">
        <v>31</v>
      </c>
      <c r="H10" s="45">
        <v>1224</v>
      </c>
      <c r="I10" s="49" t="s">
        <v>33</v>
      </c>
      <c r="J10" s="45" t="s">
        <v>15</v>
      </c>
      <c r="K10">
        <f t="shared" si="0"/>
        <v>0</v>
      </c>
    </row>
    <row r="11" ht="53" spans="1:11">
      <c r="A11" s="44">
        <v>10</v>
      </c>
      <c r="B11" s="45" t="s">
        <v>11</v>
      </c>
      <c r="C11" s="45" t="s">
        <v>34</v>
      </c>
      <c r="D11" s="46" t="s">
        <v>35</v>
      </c>
      <c r="E11" s="45">
        <v>41.5</v>
      </c>
      <c r="F11" s="45">
        <v>41.5</v>
      </c>
      <c r="G11" s="48">
        <v>31</v>
      </c>
      <c r="H11" s="45" t="s">
        <v>36</v>
      </c>
      <c r="I11" s="49" t="s">
        <v>37</v>
      </c>
      <c r="J11" s="45" t="s">
        <v>38</v>
      </c>
      <c r="K11">
        <f t="shared" si="0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1" sqref="G21"/>
    </sheetView>
  </sheetViews>
  <sheetFormatPr defaultColWidth="9.23076923076923" defaultRowHeight="16.8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opLeftCell="A4" workbookViewId="0">
      <selection activeCell="E11" sqref="E11"/>
    </sheetView>
  </sheetViews>
  <sheetFormatPr defaultColWidth="9.23076923076923" defaultRowHeight="16.8"/>
  <cols>
    <col min="5" max="5" width="17.4615384615385"/>
  </cols>
  <sheetData>
    <row r="1" ht="24.7" customHeight="1" spans="1:1">
      <c r="A1" s="1" t="s">
        <v>39</v>
      </c>
    </row>
    <row r="2" ht="19.85" customHeight="1" spans="1:10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</row>
    <row r="3" ht="55.25" customHeight="1" spans="1:10">
      <c r="A3" s="3" t="s">
        <v>41</v>
      </c>
      <c r="B3" s="4" t="s">
        <v>42</v>
      </c>
      <c r="C3" s="4"/>
      <c r="D3" s="3" t="s">
        <v>43</v>
      </c>
      <c r="E3" s="21" t="s">
        <v>44</v>
      </c>
      <c r="F3" s="22" t="s">
        <v>45</v>
      </c>
      <c r="G3" s="22"/>
      <c r="H3" s="23" t="s">
        <v>42</v>
      </c>
      <c r="I3" s="23"/>
      <c r="J3" s="36" t="s">
        <v>46</v>
      </c>
    </row>
    <row r="4" ht="35.4" customHeight="1" spans="1:10">
      <c r="A4" s="5" t="s">
        <v>47</v>
      </c>
      <c r="B4" s="6" t="s">
        <v>48</v>
      </c>
      <c r="C4" s="6"/>
      <c r="D4" s="5" t="s">
        <v>49</v>
      </c>
      <c r="E4" s="24">
        <v>45915</v>
      </c>
      <c r="F4" s="25" t="s">
        <v>50</v>
      </c>
      <c r="G4" s="25"/>
      <c r="H4" s="17" t="s">
        <v>51</v>
      </c>
      <c r="I4" s="37" t="s">
        <v>52</v>
      </c>
      <c r="J4" s="38" t="s">
        <v>42</v>
      </c>
    </row>
    <row r="5" ht="19.1" customHeight="1" spans="1:10">
      <c r="A5" s="5"/>
      <c r="B5" s="6"/>
      <c r="C5" s="6"/>
      <c r="D5" s="5"/>
      <c r="E5" s="24"/>
      <c r="F5" s="25"/>
      <c r="G5" s="25"/>
      <c r="H5" s="17"/>
      <c r="I5" s="37" t="s">
        <v>53</v>
      </c>
      <c r="J5" s="38"/>
    </row>
    <row r="6" ht="19.1" customHeight="1" spans="1:10">
      <c r="A6" s="5" t="s">
        <v>54</v>
      </c>
      <c r="B6" s="7">
        <v>45915</v>
      </c>
      <c r="C6" s="7"/>
      <c r="D6" s="5" t="s">
        <v>55</v>
      </c>
      <c r="E6" s="26" t="s">
        <v>56</v>
      </c>
      <c r="F6" s="25" t="s">
        <v>57</v>
      </c>
      <c r="G6" s="25"/>
      <c r="H6" s="27" t="s">
        <v>58</v>
      </c>
      <c r="I6" s="25" t="s">
        <v>59</v>
      </c>
      <c r="J6" s="39" t="s">
        <v>60</v>
      </c>
    </row>
    <row r="7" ht="19.1" customHeight="1" spans="1:10">
      <c r="A7" s="8" t="s">
        <v>61</v>
      </c>
      <c r="B7" s="7"/>
      <c r="C7" s="7"/>
      <c r="D7" s="5"/>
      <c r="E7" s="26"/>
      <c r="F7" s="25"/>
      <c r="G7" s="25"/>
      <c r="H7" s="27"/>
      <c r="I7" s="25"/>
      <c r="J7" s="39"/>
    </row>
    <row r="8" ht="19.85" customHeight="1" spans="1:10">
      <c r="A8" s="5" t="s">
        <v>62</v>
      </c>
      <c r="B8" s="9" t="s">
        <v>63</v>
      </c>
      <c r="C8" s="9"/>
      <c r="D8" s="5" t="s">
        <v>64</v>
      </c>
      <c r="E8" s="28">
        <v>31</v>
      </c>
      <c r="F8" s="25" t="s">
        <v>65</v>
      </c>
      <c r="G8" s="25"/>
      <c r="H8" s="13">
        <v>70</v>
      </c>
      <c r="I8" s="40" t="s">
        <v>46</v>
      </c>
      <c r="J8" s="39" t="s">
        <v>46</v>
      </c>
    </row>
    <row r="9" ht="19.85" customHeight="1" spans="1:10">
      <c r="A9" s="10" t="s">
        <v>66</v>
      </c>
      <c r="B9" s="10"/>
      <c r="C9" s="10"/>
      <c r="D9" s="10"/>
      <c r="E9" s="10"/>
      <c r="F9" s="10"/>
      <c r="G9" s="10"/>
      <c r="H9" s="10"/>
      <c r="I9" s="10"/>
      <c r="J9" s="10"/>
    </row>
    <row r="10" ht="37.5" customHeight="1" spans="1:10">
      <c r="A10" s="11" t="s">
        <v>0</v>
      </c>
      <c r="B10" s="12" t="s">
        <v>1</v>
      </c>
      <c r="C10" s="12" t="s">
        <v>2</v>
      </c>
      <c r="D10" s="12" t="s">
        <v>3</v>
      </c>
      <c r="E10" s="29" t="s">
        <v>67</v>
      </c>
      <c r="F10" s="29" t="s">
        <v>68</v>
      </c>
      <c r="G10" s="29" t="s">
        <v>69</v>
      </c>
      <c r="H10" s="29" t="s">
        <v>70</v>
      </c>
      <c r="I10" s="12" t="s">
        <v>8</v>
      </c>
      <c r="J10" s="29" t="s">
        <v>71</v>
      </c>
    </row>
    <row r="11" ht="36.75" spans="1:10">
      <c r="A11" s="11"/>
      <c r="B11" s="12"/>
      <c r="C11" s="12"/>
      <c r="D11" s="12"/>
      <c r="E11" s="30" t="s">
        <v>72</v>
      </c>
      <c r="F11" s="30" t="s">
        <v>72</v>
      </c>
      <c r="G11" s="30" t="s">
        <v>64</v>
      </c>
      <c r="H11" s="30" t="s">
        <v>73</v>
      </c>
      <c r="I11" s="12"/>
      <c r="J11" s="30" t="s">
        <v>74</v>
      </c>
    </row>
    <row r="12" ht="36.75" spans="1:10">
      <c r="A12" s="11"/>
      <c r="B12" s="12"/>
      <c r="C12" s="12"/>
      <c r="D12" s="12"/>
      <c r="E12" s="31"/>
      <c r="F12" s="31"/>
      <c r="G12" s="31"/>
      <c r="H12" s="31"/>
      <c r="I12" s="12"/>
      <c r="J12" s="41" t="s">
        <v>75</v>
      </c>
    </row>
    <row r="13" ht="53.75" spans="1:10">
      <c r="A13" s="13">
        <v>1</v>
      </c>
      <c r="B13" s="14" t="s">
        <v>11</v>
      </c>
      <c r="C13" s="14" t="s">
        <v>12</v>
      </c>
      <c r="D13" s="15" t="s">
        <v>13</v>
      </c>
      <c r="E13" s="32">
        <v>59.7</v>
      </c>
      <c r="F13" s="33">
        <v>59</v>
      </c>
      <c r="G13" s="34">
        <v>31</v>
      </c>
      <c r="H13" s="14">
        <v>1263</v>
      </c>
      <c r="I13" s="42" t="s">
        <v>14</v>
      </c>
      <c r="J13" s="14" t="s">
        <v>15</v>
      </c>
    </row>
    <row r="14" ht="53.75" spans="1:10">
      <c r="A14" s="13">
        <v>1</v>
      </c>
      <c r="B14" s="14" t="s">
        <v>11</v>
      </c>
      <c r="C14" s="14" t="s">
        <v>16</v>
      </c>
      <c r="D14" s="15" t="s">
        <v>13</v>
      </c>
      <c r="E14" s="32">
        <v>86.9</v>
      </c>
      <c r="F14" s="33">
        <v>59</v>
      </c>
      <c r="G14" s="34">
        <v>31</v>
      </c>
      <c r="H14" s="14">
        <v>1263</v>
      </c>
      <c r="I14" s="42" t="s">
        <v>17</v>
      </c>
      <c r="J14" s="14" t="s">
        <v>15</v>
      </c>
    </row>
    <row r="15" ht="53.75" spans="1:10">
      <c r="A15" s="13">
        <v>1</v>
      </c>
      <c r="B15" s="14" t="s">
        <v>11</v>
      </c>
      <c r="C15" s="14" t="s">
        <v>18</v>
      </c>
      <c r="D15" s="15" t="s">
        <v>13</v>
      </c>
      <c r="E15" s="32">
        <v>69.1</v>
      </c>
      <c r="F15" s="33">
        <v>59</v>
      </c>
      <c r="G15" s="34">
        <v>31</v>
      </c>
      <c r="H15" s="14">
        <v>1263</v>
      </c>
      <c r="I15" s="42" t="s">
        <v>19</v>
      </c>
      <c r="J15" s="14" t="s">
        <v>15</v>
      </c>
    </row>
    <row r="16" ht="53.75" spans="1:10">
      <c r="A16" s="13"/>
      <c r="B16" s="14" t="s">
        <v>20</v>
      </c>
      <c r="C16" s="14" t="s">
        <v>21</v>
      </c>
      <c r="D16" s="15" t="s">
        <v>13</v>
      </c>
      <c r="E16" s="32">
        <v>66.4</v>
      </c>
      <c r="F16" s="33">
        <v>49</v>
      </c>
      <c r="G16" s="34">
        <v>31</v>
      </c>
      <c r="H16" s="14">
        <v>1248</v>
      </c>
      <c r="I16" s="42" t="s">
        <v>22</v>
      </c>
      <c r="J16" s="14" t="s">
        <v>15</v>
      </c>
    </row>
    <row r="17" ht="19.1" customHeight="1" spans="1:10">
      <c r="A17" s="13"/>
      <c r="B17" s="14" t="s">
        <v>20</v>
      </c>
      <c r="C17" s="14" t="s">
        <v>23</v>
      </c>
      <c r="D17" s="15" t="s">
        <v>13</v>
      </c>
      <c r="E17" s="32">
        <v>49.9</v>
      </c>
      <c r="F17" s="33">
        <v>49</v>
      </c>
      <c r="G17" s="34">
        <v>31</v>
      </c>
      <c r="H17" s="14">
        <v>1248</v>
      </c>
      <c r="I17" s="42" t="s">
        <v>24</v>
      </c>
      <c r="J17" s="14" t="s">
        <v>15</v>
      </c>
    </row>
    <row r="18" ht="19.1" customHeight="1" spans="1:10">
      <c r="A18" s="13"/>
      <c r="B18" s="14" t="s">
        <v>20</v>
      </c>
      <c r="C18" s="16" t="s">
        <v>25</v>
      </c>
      <c r="D18" s="15" t="s">
        <v>13</v>
      </c>
      <c r="E18" s="32">
        <v>65.5</v>
      </c>
      <c r="F18" s="33">
        <v>49</v>
      </c>
      <c r="G18" s="34">
        <v>31</v>
      </c>
      <c r="H18" s="14">
        <v>1248</v>
      </c>
      <c r="I18" s="42" t="s">
        <v>26</v>
      </c>
      <c r="J18" s="14" t="s">
        <v>15</v>
      </c>
    </row>
    <row r="19" ht="53.75" customHeight="1" spans="1:10">
      <c r="A19" s="13">
        <v>2</v>
      </c>
      <c r="B19" s="14" t="s">
        <v>27</v>
      </c>
      <c r="C19" s="16" t="s">
        <v>28</v>
      </c>
      <c r="D19" s="15" t="s">
        <v>13</v>
      </c>
      <c r="E19" s="32">
        <v>55.2</v>
      </c>
      <c r="F19" s="33">
        <v>48</v>
      </c>
      <c r="G19" s="34">
        <v>31</v>
      </c>
      <c r="H19" s="14">
        <v>1224</v>
      </c>
      <c r="I19" s="42" t="s">
        <v>29</v>
      </c>
      <c r="J19" s="14" t="s">
        <v>15</v>
      </c>
    </row>
    <row r="20" ht="19.1" customHeight="1" spans="1:10">
      <c r="A20" s="13">
        <v>2</v>
      </c>
      <c r="B20" s="14" t="s">
        <v>27</v>
      </c>
      <c r="C20" s="16" t="s">
        <v>30</v>
      </c>
      <c r="D20" s="15" t="s">
        <v>13</v>
      </c>
      <c r="E20" s="32">
        <v>55.9</v>
      </c>
      <c r="F20" s="33">
        <v>48</v>
      </c>
      <c r="G20" s="34">
        <v>31</v>
      </c>
      <c r="H20" s="14">
        <v>1224</v>
      </c>
      <c r="I20" s="42" t="s">
        <v>31</v>
      </c>
      <c r="J20" s="14" t="s">
        <v>15</v>
      </c>
    </row>
    <row r="21" ht="53" spans="1:10">
      <c r="A21" s="13">
        <v>2</v>
      </c>
      <c r="B21" s="14" t="s">
        <v>27</v>
      </c>
      <c r="C21" s="14" t="s">
        <v>32</v>
      </c>
      <c r="D21" s="15" t="s">
        <v>13</v>
      </c>
      <c r="E21" s="32">
        <v>48.4</v>
      </c>
      <c r="F21" s="33">
        <v>48</v>
      </c>
      <c r="G21" s="34">
        <v>31</v>
      </c>
      <c r="H21" s="14">
        <v>1224</v>
      </c>
      <c r="I21" s="42" t="s">
        <v>33</v>
      </c>
      <c r="J21" s="14" t="s">
        <v>15</v>
      </c>
    </row>
    <row r="22" ht="54.5" customHeight="1" spans="1:10">
      <c r="A22" s="13">
        <v>4</v>
      </c>
      <c r="B22" s="14" t="s">
        <v>11</v>
      </c>
      <c r="C22" s="14" t="s">
        <v>34</v>
      </c>
      <c r="D22" s="15" t="s">
        <v>35</v>
      </c>
      <c r="E22" s="32">
        <v>41.5</v>
      </c>
      <c r="F22" s="33">
        <v>41</v>
      </c>
      <c r="G22" s="35">
        <v>31</v>
      </c>
      <c r="H22" s="14" t="s">
        <v>36</v>
      </c>
      <c r="I22" s="42" t="s">
        <v>37</v>
      </c>
      <c r="J22" s="14" t="s">
        <v>38</v>
      </c>
    </row>
    <row r="23" ht="19.1" customHeight="1" spans="1:10">
      <c r="A23" s="17" t="s">
        <v>76</v>
      </c>
      <c r="B23" s="17"/>
      <c r="C23" s="17"/>
      <c r="D23" s="15" t="s">
        <v>77</v>
      </c>
      <c r="E23" s="15"/>
      <c r="F23" s="15"/>
      <c r="G23" s="15"/>
      <c r="H23" s="15"/>
      <c r="I23" s="15"/>
      <c r="J23" s="15"/>
    </row>
    <row r="24" ht="19.1" customHeight="1" spans="1:10">
      <c r="A24" s="17" t="s">
        <v>78</v>
      </c>
      <c r="B24" s="17"/>
      <c r="C24" s="17"/>
      <c r="D24" s="14" t="s">
        <v>79</v>
      </c>
      <c r="E24" s="14"/>
      <c r="F24" s="14"/>
      <c r="G24" s="14"/>
      <c r="H24" s="14"/>
      <c r="I24" s="14"/>
      <c r="J24" s="14"/>
    </row>
    <row r="25" ht="36.75" customHeight="1" spans="1:10">
      <c r="A25" s="17" t="s">
        <v>80</v>
      </c>
      <c r="B25" s="17"/>
      <c r="C25" s="17"/>
      <c r="D25" s="18" t="s">
        <v>81</v>
      </c>
      <c r="E25" s="18"/>
      <c r="F25" s="18"/>
      <c r="G25" s="18"/>
      <c r="H25" s="18"/>
      <c r="I25" s="18"/>
      <c r="J25" s="18"/>
    </row>
    <row r="26" ht="18.35" spans="1:10">
      <c r="A26" s="17" t="s">
        <v>82</v>
      </c>
      <c r="B26" s="17"/>
      <c r="C26" s="17"/>
      <c r="D26" s="19" t="s">
        <v>83</v>
      </c>
      <c r="E26" s="19"/>
      <c r="F26" s="19"/>
      <c r="G26" s="19"/>
      <c r="H26" s="19"/>
      <c r="I26" s="19"/>
      <c r="J26" s="19"/>
    </row>
    <row r="27" spans="1:1">
      <c r="A27" s="20"/>
    </row>
    <row r="28" spans="1:1">
      <c r="A28" s="20"/>
    </row>
    <row r="29" spans="1:1">
      <c r="A29" s="20"/>
    </row>
    <row r="30" spans="1:1">
      <c r="A30" s="20"/>
    </row>
    <row r="31" spans="1:1">
      <c r="A31" s="20"/>
    </row>
  </sheetData>
  <mergeCells count="34">
    <mergeCell ref="A2:J2"/>
    <mergeCell ref="B3:C3"/>
    <mergeCell ref="F3:G3"/>
    <mergeCell ref="H3:I3"/>
    <mergeCell ref="B8:C8"/>
    <mergeCell ref="F8:G8"/>
    <mergeCell ref="A9:J9"/>
    <mergeCell ref="A23:C23"/>
    <mergeCell ref="D23:J23"/>
    <mergeCell ref="A24:C24"/>
    <mergeCell ref="D24:J24"/>
    <mergeCell ref="A25:C25"/>
    <mergeCell ref="D25:J25"/>
    <mergeCell ref="A26:C26"/>
    <mergeCell ref="D26:J26"/>
    <mergeCell ref="A4:A5"/>
    <mergeCell ref="A10:A12"/>
    <mergeCell ref="B10:B12"/>
    <mergeCell ref="C10:C12"/>
    <mergeCell ref="D4:D5"/>
    <mergeCell ref="D6:D7"/>
    <mergeCell ref="D10:D12"/>
    <mergeCell ref="E4:E5"/>
    <mergeCell ref="E6:E7"/>
    <mergeCell ref="H4:H5"/>
    <mergeCell ref="H6:H7"/>
    <mergeCell ref="I6:I7"/>
    <mergeCell ref="I10:I12"/>
    <mergeCell ref="J4:J5"/>
    <mergeCell ref="J6:J7"/>
    <mergeCell ref="B4:C5"/>
    <mergeCell ref="F4:G5"/>
    <mergeCell ref="B6:C7"/>
    <mergeCell ref="F6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普测</vt:lpstr>
      <vt:lpstr>1000kV精测</vt:lpstr>
      <vt:lpstr>500kV精测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zhanganan</dc:creator>
  <cp:lastModifiedBy>咔次咔次</cp:lastModifiedBy>
  <dcterms:created xsi:type="dcterms:W3CDTF">2026-07-16T10:39:33Z</dcterms:created>
  <dcterms:modified xsi:type="dcterms:W3CDTF">2026-07-16T15:42:51Z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9DC1CA02964136D57B8B586A4148ADA0_43</vt:lpwstr>
  </property>
  <property fmtid="{D5CDD505-2E9C-101B-9397-08002B2CF9AE}" pid="3" name="KSOProductBuildVer">
    <vt:lpwstr>2052-7.2.0.8943</vt:lpwstr>
  </property>
</Properties>
</file>